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on Drive\Drive - MB toolbox\000 - PROJETS\DEV0002\PROJET\"/>
    </mc:Choice>
  </mc:AlternateContent>
  <bookViews>
    <workbookView xWindow="0" yWindow="0" windowWidth="17256" windowHeight="6768"/>
  </bookViews>
  <sheets>
    <sheet name="PLAN ACTIONS" sheetId="4" r:id="rId1"/>
    <sheet name="TABLEAU DE BORD" sheetId="7" r:id="rId2"/>
    <sheet name="PARAMETRES" sheetId="6" r:id="rId3"/>
    <sheet name="A PROPOS" sheetId="3" r:id="rId4"/>
  </sheets>
  <definedNames>
    <definedName name="_xlnm._FilterDatabase" localSheetId="0" hidden="1">'PLAN ACTIONS'!$A$7:$J$7</definedName>
    <definedName name="_xlnm.Print_Area" localSheetId="3">'A PROPOS'!$A$1:$P$28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7" l="1"/>
  <c r="C8" i="7"/>
  <c r="C6" i="7"/>
  <c r="C10" i="7"/>
  <c r="C2" i="7"/>
  <c r="C12" i="7"/>
  <c r="E5" i="4"/>
</calcChain>
</file>

<file path=xl/sharedStrings.xml><?xml version="1.0" encoding="utf-8"?>
<sst xmlns="http://schemas.openxmlformats.org/spreadsheetml/2006/main" count="55" uniqueCount="54">
  <si>
    <t>A PROPOS DE CE FICHIER</t>
  </si>
  <si>
    <t>Nom de l'outil:</t>
  </si>
  <si>
    <t>No DEV:</t>
  </si>
  <si>
    <t>Votre boîte à outils numérique</t>
  </si>
  <si>
    <t>Version:</t>
  </si>
  <si>
    <t>Dernière mise à jour:</t>
  </si>
  <si>
    <t>Site web</t>
  </si>
  <si>
    <t>www.mbtoolbox.ch</t>
  </si>
  <si>
    <t>Description:</t>
  </si>
  <si>
    <t>Contact</t>
  </si>
  <si>
    <t>info@mbtoolbox.ch</t>
  </si>
  <si>
    <t>Développeur</t>
  </si>
  <si>
    <t>MB toolbox</t>
  </si>
  <si>
    <t>Copyright</t>
  </si>
  <si>
    <t xml:space="preserve">©2026 MB toolbox - Tous droits réservés </t>
  </si>
  <si>
    <t>PLAN_D_ACTION_1_FREE</t>
  </si>
  <si>
    <t>Responsable</t>
  </si>
  <si>
    <t>Description de l'action</t>
  </si>
  <si>
    <t>Échéance</t>
  </si>
  <si>
    <t>Priorité</t>
  </si>
  <si>
    <t>Statut</t>
  </si>
  <si>
    <t>Commentaires</t>
  </si>
  <si>
    <t>STATUT</t>
  </si>
  <si>
    <t>PRIORITE</t>
  </si>
  <si>
    <t>A faire</t>
  </si>
  <si>
    <t>En attente</t>
  </si>
  <si>
    <t>Terminé</t>
  </si>
  <si>
    <t>Haute</t>
  </si>
  <si>
    <t>Moyenne</t>
  </si>
  <si>
    <t>Faible</t>
  </si>
  <si>
    <t>En cours</t>
  </si>
  <si>
    <t>Objectif</t>
  </si>
  <si>
    <t>Plan d'actions</t>
  </si>
  <si>
    <t>Projet</t>
  </si>
  <si>
    <t>PROGRESSION</t>
  </si>
  <si>
    <t>Avancement (%)</t>
  </si>
  <si>
    <t>Date création</t>
  </si>
  <si>
    <t>N°</t>
  </si>
  <si>
    <t>Date clôture</t>
  </si>
  <si>
    <t>Service</t>
  </si>
  <si>
    <t>🎯</t>
  </si>
  <si>
    <t>👤</t>
  </si>
  <si>
    <r>
      <rPr>
        <sz val="14"/>
        <color theme="0"/>
        <rFont val="Calibri"/>
        <family val="2"/>
        <scheme val="minor"/>
      </rPr>
      <t xml:space="preserve">◕ </t>
    </r>
    <r>
      <rPr>
        <b/>
        <sz val="14"/>
        <color theme="0"/>
        <rFont val="Calibri"/>
        <family val="2"/>
        <scheme val="minor"/>
      </rPr>
      <t>Avancement global</t>
    </r>
  </si>
  <si>
    <r>
      <rPr>
        <sz val="13"/>
        <color theme="0"/>
        <rFont val="Calibri"/>
        <family val="2"/>
        <scheme val="minor"/>
      </rPr>
      <t xml:space="preserve">📅 </t>
    </r>
    <r>
      <rPr>
        <b/>
        <sz val="11"/>
        <color theme="0"/>
        <rFont val="Calibri"/>
        <family val="2"/>
        <scheme val="minor"/>
      </rPr>
      <t>Date création</t>
    </r>
  </si>
  <si>
    <r>
      <rPr>
        <b/>
        <sz val="13"/>
        <color theme="0"/>
        <rFont val="Calibri"/>
        <family val="2"/>
        <scheme val="minor"/>
      </rPr>
      <t>📝</t>
    </r>
    <r>
      <rPr>
        <b/>
        <sz val="14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Référence</t>
    </r>
  </si>
  <si>
    <r>
      <rPr>
        <sz val="13"/>
        <color theme="0"/>
        <rFont val="Calibri"/>
        <family val="2"/>
        <scheme val="minor"/>
      </rPr>
      <t>🔄</t>
    </r>
    <r>
      <rPr>
        <sz val="14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Date de mise à jour</t>
    </r>
  </si>
  <si>
    <t>⌛ En attente</t>
  </si>
  <si>
    <r>
      <rPr>
        <b/>
        <sz val="26"/>
        <color rgb="FFFF0000"/>
        <rFont val="Calibri"/>
        <family val="2"/>
        <scheme val="minor"/>
      </rPr>
      <t>⚠</t>
    </r>
    <r>
      <rPr>
        <sz val="26"/>
        <color rgb="FFFF0000"/>
        <rFont val="Calibri"/>
        <family val="2"/>
        <scheme val="minor"/>
      </rPr>
      <t xml:space="preserve"> </t>
    </r>
    <r>
      <rPr>
        <sz val="26"/>
        <color rgb="FF0070C0"/>
        <rFont val="Calibri"/>
        <family val="2"/>
        <scheme val="minor"/>
      </rPr>
      <t>Actions en retard</t>
    </r>
  </si>
  <si>
    <r>
      <rPr>
        <b/>
        <sz val="26"/>
        <color rgb="FF0070C0"/>
        <rFont val="Calibri"/>
        <family val="2"/>
        <scheme val="minor"/>
      </rPr>
      <t>☰</t>
    </r>
    <r>
      <rPr>
        <sz val="26"/>
        <color rgb="FF0070C0"/>
        <rFont val="Calibri"/>
        <family val="2"/>
        <scheme val="minor"/>
      </rPr>
      <t xml:space="preserve"> Actions totales</t>
    </r>
  </si>
  <si>
    <r>
      <rPr>
        <b/>
        <sz val="26"/>
        <color rgb="FF00B050"/>
        <rFont val="Calibri"/>
        <family val="2"/>
        <scheme val="minor"/>
      </rPr>
      <t>☑</t>
    </r>
    <r>
      <rPr>
        <sz val="26"/>
        <color rgb="FF0070C0"/>
        <rFont val="Calibri"/>
        <family val="2"/>
        <scheme val="minor"/>
      </rPr>
      <t xml:space="preserve"> Terminé</t>
    </r>
  </si>
  <si>
    <r>
      <rPr>
        <b/>
        <sz val="26"/>
        <color rgb="FFFFC000"/>
        <rFont val="Calibri"/>
        <family val="2"/>
        <scheme val="minor"/>
      </rPr>
      <t>↻</t>
    </r>
    <r>
      <rPr>
        <sz val="26"/>
        <color rgb="FF0070C0"/>
        <rFont val="Calibri"/>
        <family val="2"/>
        <scheme val="minor"/>
      </rPr>
      <t xml:space="preserve"> En cours</t>
    </r>
  </si>
  <si>
    <r>
      <rPr>
        <b/>
        <sz val="26"/>
        <color rgb="FF00B050"/>
        <rFont val="Calibri"/>
        <family val="2"/>
        <scheme val="minor"/>
      </rPr>
      <t>☐</t>
    </r>
    <r>
      <rPr>
        <sz val="26"/>
        <color rgb="FF0070C0"/>
        <rFont val="Calibri"/>
        <family val="2"/>
        <scheme val="minor"/>
      </rPr>
      <t xml:space="preserve"> A faire</t>
    </r>
  </si>
  <si>
    <t>Tableau de bord</t>
  </si>
  <si>
    <t>Outil Excel de gestion et de suivi des actions intégrant priorités, responsables, échéances, avancement et tableau de bord automatique.
Permet de piloter efficacement projets, audits et démarches d'amélioration continue.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</si>
</sst>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00#"/>
    <numFmt numFmtId="165" formatCode="0.0"/>
    <numFmt numFmtId="166" formatCode="0&quot;%&quot;"/>
    <numFmt numFmtId="167" formatCode="0.0&quot; %&quot;"/>
  </numFmts>
  <fonts count="33">
    <font>
      <sz val="11"/>
      <color theme="1"/>
      <name val="Calibri"/>
      <family val="2"/>
      <scheme val="minor"/>
    </font>
    <font>
      <sz val="11"/>
      <color theme="1"/>
      <name val="Montserrat Medium"/>
    </font>
    <font>
      <b/>
      <sz val="16"/>
      <color rgb="FF0070C0"/>
      <name val="Montserrat Medium"/>
    </font>
    <font>
      <b/>
      <sz val="11"/>
      <color rgb="FF0070C0"/>
      <name val="Montserrat Medium"/>
    </font>
    <font>
      <sz val="11"/>
      <color rgb="FF000000"/>
      <name val="Montserrat Medium"/>
    </font>
    <font>
      <sz val="11"/>
      <color rgb="FF0070C0"/>
      <name val="Montserrat Medium"/>
    </font>
    <font>
      <b/>
      <sz val="16"/>
      <color rgb="FF000000"/>
      <name val="Montserrat Medium"/>
    </font>
    <font>
      <u/>
      <sz val="19.25"/>
      <color theme="10"/>
      <name val="Calibri"/>
      <family val="2"/>
    </font>
    <font>
      <u/>
      <sz val="11"/>
      <color theme="10"/>
      <name val="Montserrat Medium"/>
    </font>
    <font>
      <sz val="10"/>
      <color theme="0"/>
      <name val="Montserrat Medium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36"/>
      <color rgb="FF0070C0"/>
      <name val="Calibri"/>
      <family val="2"/>
      <scheme val="minor"/>
    </font>
    <font>
      <sz val="34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rgb="FF0070C0"/>
      <name val="Calibri"/>
      <family val="2"/>
      <scheme val="minor"/>
    </font>
    <font>
      <sz val="13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26"/>
      <color rgb="FFFF0000"/>
      <name val="Calibri"/>
      <family val="2"/>
      <scheme val="minor"/>
    </font>
    <font>
      <sz val="26"/>
      <color rgb="FF0070C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70C0"/>
      <name val="Calibri"/>
      <family val="2"/>
      <scheme val="minor"/>
    </font>
    <font>
      <b/>
      <sz val="26"/>
      <color rgb="FF00B050"/>
      <name val="Calibri"/>
      <family val="2"/>
      <scheme val="minor"/>
    </font>
    <font>
      <b/>
      <sz val="26"/>
      <color rgb="FFFFC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5EBFF"/>
        <bgColor indexed="64"/>
      </patternFill>
    </fill>
    <fill>
      <patternFill patternType="solid">
        <fgColor rgb="FF00206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/>
      <top/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theme="0"/>
      </top>
      <bottom style="thin">
        <color rgb="FF0070C0"/>
      </bottom>
      <diagonal/>
    </border>
    <border>
      <left/>
      <right style="thin">
        <color rgb="FF0070C0"/>
      </right>
      <top style="thin">
        <color theme="0"/>
      </top>
      <bottom style="thin">
        <color rgb="FF0070C0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9" fontId="12" fillId="0" borderId="0" applyFont="0" applyFill="0" applyBorder="0" applyAlignment="0" applyProtection="0"/>
  </cellStyleXfs>
  <cellXfs count="102">
    <xf numFmtId="0" fontId="0" fillId="0" borderId="0" xfId="0"/>
    <xf numFmtId="0" fontId="1" fillId="0" borderId="0" xfId="0" applyFont="1" applyBorder="1" applyAlignment="1" applyProtection="1">
      <alignment vertical="center"/>
    </xf>
    <xf numFmtId="0" fontId="1" fillId="0" borderId="0" xfId="0" applyFont="1" applyAlignment="1" applyProtection="1">
      <alignment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2" xfId="0" applyFont="1" applyFill="1" applyBorder="1" applyAlignment="1" applyProtection="1">
      <alignment vertical="center"/>
    </xf>
    <xf numFmtId="0" fontId="1" fillId="2" borderId="3" xfId="0" applyFont="1" applyFill="1" applyBorder="1" applyAlignment="1" applyProtection="1">
      <alignment vertical="center"/>
    </xf>
    <xf numFmtId="0" fontId="1" fillId="2" borderId="4" xfId="0" applyFont="1" applyFill="1" applyBorder="1" applyAlignment="1" applyProtection="1">
      <alignment vertical="center"/>
    </xf>
    <xf numFmtId="0" fontId="1" fillId="2" borderId="5" xfId="0" applyFont="1" applyFill="1" applyBorder="1" applyAlignment="1" applyProtection="1">
      <alignment vertical="center"/>
    </xf>
    <xf numFmtId="0" fontId="1" fillId="2" borderId="6" xfId="0" applyFont="1" applyFill="1" applyBorder="1" applyAlignment="1" applyProtection="1">
      <alignment vertical="center"/>
    </xf>
    <xf numFmtId="0" fontId="3" fillId="2" borderId="0" xfId="0" applyFont="1" applyFill="1" applyBorder="1" applyAlignment="1" applyProtection="1">
      <alignment horizontal="left" vertical="center"/>
    </xf>
    <xf numFmtId="0" fontId="4" fillId="2" borderId="0" xfId="0" applyFont="1" applyFill="1" applyBorder="1" applyAlignment="1" applyProtection="1">
      <alignment horizontal="left" vertical="center"/>
    </xf>
    <xf numFmtId="0" fontId="5" fillId="2" borderId="0" xfId="0" applyFont="1" applyFill="1" applyBorder="1" applyAlignment="1" applyProtection="1">
      <alignment vertical="center"/>
    </xf>
    <xf numFmtId="164" fontId="1" fillId="0" borderId="0" xfId="0" applyNumberFormat="1" applyFont="1" applyAlignment="1" applyProtection="1">
      <alignment horizontal="left" vertical="center"/>
    </xf>
    <xf numFmtId="0" fontId="6" fillId="2" borderId="6" xfId="0" applyFont="1" applyFill="1" applyBorder="1" applyAlignment="1" applyProtection="1">
      <alignment horizontal="left" vertical="center"/>
    </xf>
    <xf numFmtId="0" fontId="6" fillId="2" borderId="0" xfId="0" applyFont="1" applyFill="1" applyBorder="1" applyAlignment="1" applyProtection="1">
      <alignment horizontal="left" vertical="center"/>
    </xf>
    <xf numFmtId="0" fontId="1" fillId="2" borderId="0" xfId="0" applyFont="1" applyFill="1" applyBorder="1" applyAlignment="1" applyProtection="1">
      <alignment horizontal="left" vertical="center"/>
    </xf>
    <xf numFmtId="165" fontId="4" fillId="2" borderId="0" xfId="0" applyNumberFormat="1" applyFont="1" applyFill="1" applyBorder="1" applyAlignment="1" applyProtection="1">
      <alignment horizontal="left" vertical="center"/>
    </xf>
    <xf numFmtId="0" fontId="5" fillId="2" borderId="0" xfId="0" applyFont="1" applyFill="1" applyBorder="1" applyAlignment="1" applyProtection="1">
      <alignment vertical="center" wrapText="1"/>
    </xf>
    <xf numFmtId="0" fontId="4" fillId="2" borderId="0" xfId="0" applyFont="1" applyFill="1" applyBorder="1" applyAlignment="1" applyProtection="1">
      <alignment vertical="center" wrapText="1"/>
    </xf>
    <xf numFmtId="14" fontId="4" fillId="2" borderId="0" xfId="0" applyNumberFormat="1" applyFont="1" applyFill="1" applyBorder="1" applyAlignment="1" applyProtection="1">
      <alignment horizontal="left" vertical="center"/>
    </xf>
    <xf numFmtId="0" fontId="3" fillId="2" borderId="0" xfId="0" applyFont="1" applyFill="1" applyBorder="1" applyAlignment="1" applyProtection="1">
      <alignment vertical="center"/>
    </xf>
    <xf numFmtId="0" fontId="8" fillId="2" borderId="0" xfId="1" applyFont="1" applyFill="1" applyBorder="1" applyAlignment="1" applyProtection="1">
      <alignment vertical="center"/>
    </xf>
    <xf numFmtId="0" fontId="8" fillId="2" borderId="6" xfId="1" applyFont="1" applyFill="1" applyBorder="1" applyAlignment="1" applyProtection="1">
      <alignment vertical="center"/>
    </xf>
    <xf numFmtId="0" fontId="5" fillId="0" borderId="0" xfId="0" applyFont="1" applyAlignment="1" applyProtection="1">
      <alignment vertical="center"/>
    </xf>
    <xf numFmtId="0" fontId="1" fillId="2" borderId="0" xfId="0" applyFont="1" applyFill="1" applyBorder="1" applyAlignment="1" applyProtection="1">
      <alignment vertical="center" wrapText="1"/>
    </xf>
    <xf numFmtId="0" fontId="4" fillId="2" borderId="6" xfId="0" applyFont="1" applyFill="1" applyBorder="1" applyAlignment="1" applyProtection="1">
      <alignment vertical="center"/>
    </xf>
    <xf numFmtId="0" fontId="4" fillId="2" borderId="0" xfId="0" applyFont="1" applyFill="1" applyBorder="1" applyAlignment="1" applyProtection="1">
      <alignment vertical="center"/>
    </xf>
    <xf numFmtId="0" fontId="1" fillId="2" borderId="7" xfId="0" applyFont="1" applyFill="1" applyBorder="1" applyAlignment="1" applyProtection="1">
      <alignment vertical="center"/>
    </xf>
    <xf numFmtId="0" fontId="1" fillId="2" borderId="1" xfId="0" applyFont="1" applyFill="1" applyBorder="1" applyAlignment="1" applyProtection="1">
      <alignment vertical="center"/>
    </xf>
    <xf numFmtId="0" fontId="1" fillId="2" borderId="8" xfId="0" applyFont="1" applyFill="1" applyBorder="1" applyAlignment="1" applyProtection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Font="1" applyAlignment="1" applyProtection="1">
      <alignment vertical="center"/>
      <protection locked="0"/>
    </xf>
    <xf numFmtId="0" fontId="0" fillId="0" borderId="0" xfId="0" applyFont="1" applyAlignment="1" applyProtection="1">
      <alignment vertical="top" wrapText="1"/>
      <protection locked="0"/>
    </xf>
    <xf numFmtId="0" fontId="10" fillId="0" borderId="0" xfId="0" applyFont="1" applyFill="1" applyBorder="1" applyAlignment="1" applyProtection="1">
      <alignment vertical="center"/>
      <protection locked="0"/>
    </xf>
    <xf numFmtId="0" fontId="0" fillId="0" borderId="0" xfId="0" applyFont="1" applyFill="1" applyBorder="1" applyAlignment="1" applyProtection="1">
      <alignment vertical="center"/>
      <protection locked="0"/>
    </xf>
    <xf numFmtId="0" fontId="0" fillId="0" borderId="0" xfId="0" applyFont="1" applyFill="1" applyBorder="1" applyAlignment="1" applyProtection="1">
      <alignment horizontal="left" vertical="center"/>
      <protection locked="0"/>
    </xf>
    <xf numFmtId="14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0" applyAlignment="1">
      <alignment horizontal="center"/>
    </xf>
    <xf numFmtId="14" fontId="13" fillId="4" borderId="0" xfId="0" applyNumberFormat="1" applyFont="1" applyFill="1" applyBorder="1" applyAlignment="1" applyProtection="1">
      <alignment horizontal="center" vertical="center"/>
      <protection locked="0"/>
    </xf>
    <xf numFmtId="0" fontId="11" fillId="4" borderId="0" xfId="0" applyFont="1" applyFill="1" applyBorder="1" applyAlignment="1" applyProtection="1">
      <alignment vertical="top" wrapText="1"/>
    </xf>
    <xf numFmtId="0" fontId="11" fillId="4" borderId="0" xfId="0" applyFont="1" applyFill="1" applyBorder="1" applyAlignment="1" applyProtection="1">
      <alignment horizontal="right" vertical="top"/>
    </xf>
    <xf numFmtId="0" fontId="0" fillId="0" borderId="0" xfId="0" applyProtection="1"/>
    <xf numFmtId="0" fontId="16" fillId="6" borderId="18" xfId="0" applyFont="1" applyFill="1" applyBorder="1" applyAlignment="1" applyProtection="1">
      <alignment vertical="center"/>
    </xf>
    <xf numFmtId="0" fontId="16" fillId="6" borderId="12" xfId="0" applyFont="1" applyFill="1" applyBorder="1" applyAlignment="1" applyProtection="1">
      <alignment vertical="center"/>
    </xf>
    <xf numFmtId="0" fontId="15" fillId="0" borderId="0" xfId="0" applyFont="1"/>
    <xf numFmtId="0" fontId="15" fillId="6" borderId="19" xfId="0" applyFont="1" applyFill="1" applyBorder="1"/>
    <xf numFmtId="0" fontId="15" fillId="0" borderId="0" xfId="0" applyFont="1" applyAlignment="1">
      <alignment horizontal="center"/>
    </xf>
    <xf numFmtId="0" fontId="28" fillId="6" borderId="19" xfId="0" applyFont="1" applyFill="1" applyBorder="1"/>
    <xf numFmtId="0" fontId="28" fillId="6" borderId="17" xfId="0" applyFont="1" applyFill="1" applyBorder="1" applyAlignment="1">
      <alignment horizontal="center"/>
    </xf>
    <xf numFmtId="0" fontId="28" fillId="0" borderId="0" xfId="0" applyFont="1"/>
    <xf numFmtId="0" fontId="28" fillId="0" borderId="0" xfId="0" applyFont="1" applyAlignment="1">
      <alignment horizontal="center"/>
    </xf>
    <xf numFmtId="0" fontId="28" fillId="6" borderId="18" xfId="0" applyFont="1" applyFill="1" applyBorder="1"/>
    <xf numFmtId="0" fontId="15" fillId="6" borderId="18" xfId="0" applyFont="1" applyFill="1" applyBorder="1"/>
    <xf numFmtId="0" fontId="28" fillId="0" borderId="0" xfId="0" applyFont="1" applyBorder="1"/>
    <xf numFmtId="0" fontId="0" fillId="0" borderId="0" xfId="0" applyBorder="1"/>
    <xf numFmtId="0" fontId="15" fillId="0" borderId="0" xfId="0" applyFont="1" applyBorder="1"/>
    <xf numFmtId="0" fontId="11" fillId="4" borderId="0" xfId="0" applyFont="1" applyFill="1" applyProtection="1"/>
    <xf numFmtId="0" fontId="0" fillId="5" borderId="0" xfId="0" applyFill="1" applyProtection="1"/>
    <xf numFmtId="0" fontId="0" fillId="5" borderId="0" xfId="2" applyNumberFormat="1" applyFont="1" applyFill="1" applyAlignment="1" applyProtection="1">
      <alignment horizontal="center"/>
    </xf>
    <xf numFmtId="0" fontId="0" fillId="0" borderId="0" xfId="0" applyNumberFormat="1" applyProtection="1"/>
    <xf numFmtId="0" fontId="0" fillId="0" borderId="15" xfId="0" applyFont="1" applyBorder="1" applyAlignment="1" applyProtection="1">
      <alignment horizontal="left" vertical="center" wrapText="1"/>
      <protection locked="0"/>
    </xf>
    <xf numFmtId="0" fontId="22" fillId="0" borderId="15" xfId="0" applyFont="1" applyBorder="1" applyAlignment="1" applyProtection="1">
      <alignment horizontal="left" vertical="center" wrapText="1"/>
      <protection locked="0"/>
    </xf>
    <xf numFmtId="166" fontId="23" fillId="0" borderId="15" xfId="2" applyNumberFormat="1" applyFont="1" applyBorder="1" applyAlignment="1" applyProtection="1">
      <alignment horizontal="right" vertical="center" wrapText="1"/>
      <protection locked="0"/>
    </xf>
    <xf numFmtId="0" fontId="22" fillId="0" borderId="6" xfId="0" applyFont="1" applyBorder="1" applyAlignment="1" applyProtection="1">
      <alignment horizontal="center" vertical="center" wrapText="1"/>
      <protection locked="0"/>
    </xf>
    <xf numFmtId="0" fontId="22" fillId="0" borderId="16" xfId="0" applyFont="1" applyBorder="1" applyAlignment="1" applyProtection="1">
      <alignment horizontal="left" vertical="center" wrapText="1"/>
      <protection locked="0"/>
    </xf>
    <xf numFmtId="14" fontId="22" fillId="0" borderId="16" xfId="0" applyNumberFormat="1" applyFont="1" applyBorder="1" applyAlignment="1" applyProtection="1">
      <alignment horizontal="center" vertical="center" wrapText="1"/>
      <protection locked="0"/>
    </xf>
    <xf numFmtId="166" fontId="23" fillId="0" borderId="16" xfId="2" applyNumberFormat="1" applyFont="1" applyBorder="1" applyAlignment="1" applyProtection="1">
      <alignment horizontal="right" vertical="center" wrapText="1"/>
      <protection locked="0"/>
    </xf>
    <xf numFmtId="0" fontId="22" fillId="0" borderId="16" xfId="0" applyFont="1" applyBorder="1" applyAlignment="1" applyProtection="1">
      <alignment horizontal="left" vertical="center"/>
      <protection locked="0"/>
    </xf>
    <xf numFmtId="14" fontId="22" fillId="0" borderId="5" xfId="0" applyNumberFormat="1" applyFont="1" applyBorder="1" applyAlignment="1" applyProtection="1">
      <alignment horizontal="center" vertical="center" wrapText="1"/>
      <protection locked="0"/>
    </xf>
    <xf numFmtId="0" fontId="0" fillId="0" borderId="6" xfId="0" applyFont="1" applyBorder="1" applyAlignment="1" applyProtection="1">
      <alignment horizontal="center" vertical="center" wrapText="1"/>
      <protection locked="0"/>
    </xf>
    <xf numFmtId="0" fontId="0" fillId="0" borderId="16" xfId="0" applyFont="1" applyBorder="1" applyAlignment="1" applyProtection="1">
      <alignment horizontal="left" vertical="center" wrapText="1"/>
      <protection locked="0"/>
    </xf>
    <xf numFmtId="14" fontId="0" fillId="0" borderId="16" xfId="0" applyNumberFormat="1" applyFont="1" applyBorder="1" applyAlignment="1" applyProtection="1">
      <alignment horizontal="center" vertical="center" wrapText="1"/>
      <protection locked="0"/>
    </xf>
    <xf numFmtId="166" fontId="14" fillId="0" borderId="16" xfId="2" applyNumberFormat="1" applyFont="1" applyBorder="1" applyAlignment="1" applyProtection="1">
      <alignment horizontal="right" vertical="center" wrapText="1"/>
      <protection locked="0"/>
    </xf>
    <xf numFmtId="0" fontId="0" fillId="0" borderId="16" xfId="0" applyFont="1" applyBorder="1" applyAlignment="1" applyProtection="1">
      <alignment horizontal="left" vertical="center"/>
      <protection locked="0"/>
    </xf>
    <xf numFmtId="14" fontId="0" fillId="0" borderId="5" xfId="0" applyNumberFormat="1" applyFont="1" applyBorder="1" applyAlignment="1" applyProtection="1">
      <alignment horizontal="center" vertical="center" wrapText="1"/>
      <protection locked="0"/>
    </xf>
    <xf numFmtId="0" fontId="0" fillId="6" borderId="11" xfId="0" applyFont="1" applyFill="1" applyBorder="1" applyAlignment="1" applyProtection="1">
      <alignment horizontal="left" vertical="center" indent="1"/>
      <protection locked="0"/>
    </xf>
    <xf numFmtId="0" fontId="0" fillId="6" borderId="13" xfId="0" applyFont="1" applyFill="1" applyBorder="1" applyAlignment="1" applyProtection="1">
      <alignment horizontal="left" vertical="center" indent="1"/>
      <protection locked="0"/>
    </xf>
    <xf numFmtId="0" fontId="0" fillId="6" borderId="19" xfId="0" applyFont="1" applyFill="1" applyBorder="1" applyAlignment="1" applyProtection="1">
      <alignment horizontal="left" vertical="center" indent="1"/>
      <protection locked="0"/>
    </xf>
    <xf numFmtId="0" fontId="0" fillId="6" borderId="17" xfId="0" applyFont="1" applyFill="1" applyBorder="1" applyAlignment="1" applyProtection="1">
      <alignment horizontal="left" vertical="center" indent="1"/>
      <protection locked="0"/>
    </xf>
    <xf numFmtId="167" fontId="19" fillId="4" borderId="20" xfId="0" applyNumberFormat="1" applyFont="1" applyFill="1" applyBorder="1" applyAlignment="1" applyProtection="1">
      <alignment horizontal="center" vertical="center"/>
    </xf>
    <xf numFmtId="167" fontId="19" fillId="4" borderId="21" xfId="0" applyNumberFormat="1" applyFont="1" applyFill="1" applyBorder="1" applyAlignment="1" applyProtection="1">
      <alignment horizontal="center" vertical="center"/>
    </xf>
    <xf numFmtId="0" fontId="18" fillId="4" borderId="9" xfId="0" applyFont="1" applyFill="1" applyBorder="1" applyAlignment="1" applyProtection="1">
      <alignment horizontal="center" vertical="center"/>
    </xf>
    <xf numFmtId="0" fontId="19" fillId="4" borderId="10" xfId="0" applyFont="1" applyFill="1" applyBorder="1" applyAlignment="1" applyProtection="1">
      <alignment horizontal="center" vertical="center"/>
    </xf>
    <xf numFmtId="0" fontId="21" fillId="6" borderId="9" xfId="0" applyFont="1" applyFill="1" applyBorder="1" applyAlignment="1" applyProtection="1">
      <alignment horizontal="left"/>
    </xf>
    <xf numFmtId="0" fontId="21" fillId="6" borderId="11" xfId="0" applyFont="1" applyFill="1" applyBorder="1" applyAlignment="1" applyProtection="1">
      <alignment horizontal="left"/>
    </xf>
    <xf numFmtId="0" fontId="20" fillId="6" borderId="9" xfId="0" applyFont="1" applyFill="1" applyBorder="1" applyAlignment="1" applyProtection="1">
      <alignment horizontal="center" vertical="top"/>
    </xf>
    <xf numFmtId="0" fontId="20" fillId="6" borderId="11" xfId="0" applyFont="1" applyFill="1" applyBorder="1" applyAlignment="1" applyProtection="1">
      <alignment horizontal="center" vertical="top"/>
    </xf>
    <xf numFmtId="0" fontId="11" fillId="4" borderId="0" xfId="0" applyFont="1" applyFill="1" applyBorder="1" applyAlignment="1" applyProtection="1">
      <alignment horizontal="right" vertical="top"/>
    </xf>
    <xf numFmtId="0" fontId="13" fillId="4" borderId="0" xfId="0" applyFont="1" applyFill="1" applyBorder="1" applyAlignment="1" applyProtection="1">
      <alignment horizontal="left" vertical="center" indent="1"/>
      <protection locked="0"/>
    </xf>
    <xf numFmtId="14" fontId="13" fillId="4" borderId="0" xfId="0" applyNumberFormat="1" applyFont="1" applyFill="1" applyBorder="1" applyAlignment="1" applyProtection="1">
      <alignment horizontal="left" vertical="center" indent="1"/>
      <protection locked="0"/>
    </xf>
    <xf numFmtId="0" fontId="24" fillId="0" borderId="0" xfId="0" applyFont="1" applyAlignment="1" applyProtection="1">
      <alignment horizontal="center" vertical="top"/>
    </xf>
    <xf numFmtId="0" fontId="24" fillId="0" borderId="0" xfId="0" applyFont="1" applyAlignment="1">
      <alignment horizontal="center" vertical="center"/>
    </xf>
    <xf numFmtId="0" fontId="2" fillId="2" borderId="0" xfId="0" applyFont="1" applyFill="1" applyBorder="1" applyAlignment="1" applyProtection="1">
      <alignment horizontal="left" vertical="center"/>
    </xf>
    <xf numFmtId="0" fontId="9" fillId="3" borderId="0" xfId="0" applyFont="1" applyFill="1" applyBorder="1" applyAlignment="1" applyProtection="1">
      <alignment horizontal="left" vertical="center" wrapText="1"/>
    </xf>
    <xf numFmtId="0" fontId="11" fillId="7" borderId="8" xfId="0" applyFont="1" applyFill="1" applyBorder="1" applyAlignment="1" applyProtection="1">
      <alignment horizontal="center" vertical="top" wrapText="1"/>
      <protection locked="0"/>
    </xf>
    <xf numFmtId="0" fontId="11" fillId="7" borderId="14" xfId="0" applyFont="1" applyFill="1" applyBorder="1" applyAlignment="1" applyProtection="1">
      <alignment horizontal="left" vertical="top" wrapText="1"/>
      <protection locked="0"/>
    </xf>
    <xf numFmtId="0" fontId="11" fillId="7" borderId="14" xfId="0" applyFont="1" applyFill="1" applyBorder="1" applyAlignment="1" applyProtection="1">
      <alignment horizontal="center" vertical="top" wrapText="1"/>
      <protection locked="0"/>
    </xf>
    <xf numFmtId="0" fontId="11" fillId="7" borderId="7" xfId="0" applyFont="1" applyFill="1" applyBorder="1" applyAlignment="1" applyProtection="1">
      <alignment horizontal="center" vertical="top" wrapText="1"/>
      <protection locked="0"/>
    </xf>
    <xf numFmtId="0" fontId="0" fillId="0" borderId="4" xfId="0" applyFont="1" applyBorder="1" applyAlignment="1" applyProtection="1">
      <alignment horizontal="center" vertical="center" wrapText="1"/>
      <protection locked="0"/>
    </xf>
    <xf numFmtId="14" fontId="0" fillId="0" borderId="15" xfId="0" applyNumberFormat="1" applyFont="1" applyBorder="1" applyAlignment="1" applyProtection="1">
      <alignment horizontal="center" vertical="center" wrapText="1"/>
      <protection locked="0"/>
    </xf>
    <xf numFmtId="0" fontId="0" fillId="0" borderId="15" xfId="0" applyFont="1" applyBorder="1" applyAlignment="1" applyProtection="1">
      <alignment horizontal="left" vertical="center"/>
      <protection locked="0"/>
    </xf>
    <xf numFmtId="14" fontId="0" fillId="0" borderId="2" xfId="0" applyNumberFormat="1" applyFont="1" applyBorder="1" applyAlignment="1" applyProtection="1">
      <alignment horizontal="center" vertical="center" wrapText="1"/>
      <protection locked="0"/>
    </xf>
  </cellXfs>
  <cellStyles count="3">
    <cellStyle name="Lien hypertexte" xfId="1" builtinId="8"/>
    <cellStyle name="Normal" xfId="0" builtinId="0"/>
    <cellStyle name="Pourcentage" xfId="2" builtinId="5"/>
  </cellStyles>
  <dxfs count="2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206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6" formatCode="0&quot;%&quot;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protection locked="0" hidden="0"/>
    </dxf>
    <dxf>
      <border outline="0"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E5E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6" Type="http://schemas.openxmlformats.org/officeDocument/2006/relationships/image" Target="../media/image7.jpe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33130</xdr:rowOff>
    </xdr:from>
    <xdr:to>
      <xdr:col>1</xdr:col>
      <xdr:colOff>476899</xdr:colOff>
      <xdr:row>0</xdr:row>
      <xdr:rowOff>319667</xdr:rowOff>
    </xdr:to>
    <xdr:pic>
      <xdr:nvPicPr>
        <xdr:cNvPr id="7" name="Image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130"/>
          <a:ext cx="993734" cy="2865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643214</xdr:colOff>
      <xdr:row>0</xdr:row>
      <xdr:rowOff>286537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93734" cy="2865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109903</xdr:colOff>
      <xdr:row>5</xdr:row>
      <xdr:rowOff>146801</xdr:rowOff>
    </xdr:from>
    <xdr:to>
      <xdr:col>6</xdr:col>
      <xdr:colOff>2068636</xdr:colOff>
      <xdr:row>9</xdr:row>
      <xdr:rowOff>37695</xdr:rowOff>
    </xdr:to>
    <xdr:pic>
      <xdr:nvPicPr>
        <xdr:cNvPr id="2" name="Image 1" descr="MB toolbox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35783" y="946901"/>
          <a:ext cx="3848493" cy="683374"/>
        </a:xfrm>
        <a:prstGeom prst="rect">
          <a:avLst/>
        </a:prstGeom>
      </xdr:spPr>
    </xdr:pic>
    <xdr:clientData/>
  </xdr:twoCellAnchor>
  <xdr:twoCellAnchor editAs="oneCell">
    <xdr:from>
      <xdr:col>4</xdr:col>
      <xdr:colOff>83665</xdr:colOff>
      <xdr:row>21</xdr:row>
      <xdr:rowOff>8207</xdr:rowOff>
    </xdr:from>
    <xdr:to>
      <xdr:col>4</xdr:col>
      <xdr:colOff>270982</xdr:colOff>
      <xdr:row>21</xdr:row>
      <xdr:rowOff>189539</xdr:rowOff>
    </xdr:to>
    <xdr:pic>
      <xdr:nvPicPr>
        <xdr:cNvPr id="3" name="Image 2" descr="Icone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61004" t="57473" r="13888" b="18400"/>
        <a:stretch>
          <a:fillRect/>
        </a:stretch>
      </xdr:blipFill>
      <xdr:spPr>
        <a:xfrm>
          <a:off x="1592425" y="3978227"/>
          <a:ext cx="187317" cy="181332"/>
        </a:xfrm>
        <a:prstGeom prst="rect">
          <a:avLst/>
        </a:prstGeom>
      </xdr:spPr>
    </xdr:pic>
    <xdr:clientData/>
  </xdr:twoCellAnchor>
  <xdr:twoCellAnchor editAs="oneCell">
    <xdr:from>
      <xdr:col>4</xdr:col>
      <xdr:colOff>98965</xdr:colOff>
      <xdr:row>19</xdr:row>
      <xdr:rowOff>14199</xdr:rowOff>
    </xdr:from>
    <xdr:to>
      <xdr:col>4</xdr:col>
      <xdr:colOff>254485</xdr:colOff>
      <xdr:row>19</xdr:row>
      <xdr:rowOff>194199</xdr:rowOff>
    </xdr:to>
    <xdr:pic>
      <xdr:nvPicPr>
        <xdr:cNvPr id="4" name="Image 3" descr="Icone.pn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4751" t="57512" r="64064" b="17968"/>
        <a:stretch>
          <a:fillRect/>
        </a:stretch>
      </xdr:blipFill>
      <xdr:spPr>
        <a:xfrm>
          <a:off x="1607725" y="3587979"/>
          <a:ext cx="155520" cy="180000"/>
        </a:xfrm>
        <a:prstGeom prst="rect">
          <a:avLst/>
        </a:prstGeom>
      </xdr:spPr>
    </xdr:pic>
    <xdr:clientData/>
  </xdr:twoCellAnchor>
  <xdr:twoCellAnchor editAs="oneCell">
    <xdr:from>
      <xdr:col>4</xdr:col>
      <xdr:colOff>61777</xdr:colOff>
      <xdr:row>17</xdr:row>
      <xdr:rowOff>8660</xdr:rowOff>
    </xdr:from>
    <xdr:to>
      <xdr:col>4</xdr:col>
      <xdr:colOff>298534</xdr:colOff>
      <xdr:row>17</xdr:row>
      <xdr:rowOff>188660</xdr:rowOff>
    </xdr:to>
    <xdr:pic>
      <xdr:nvPicPr>
        <xdr:cNvPr id="5" name="Image 4" descr="Icone.png"/>
        <xdr:cNvPicPr>
          <a:picLocks noChangeAspect="1"/>
        </xdr:cNvPicPr>
      </xdr:nvPicPr>
      <xdr:blipFill>
        <a:blip xmlns:r="http://schemas.openxmlformats.org/officeDocument/2006/relationships" r:embed="rId4" cstate="print"/>
        <a:srcRect l="59513" t="11455" r="11848" b="66772"/>
        <a:stretch>
          <a:fillRect/>
        </a:stretch>
      </xdr:blipFill>
      <xdr:spPr>
        <a:xfrm>
          <a:off x="1570537" y="3186200"/>
          <a:ext cx="236757" cy="180000"/>
        </a:xfrm>
        <a:prstGeom prst="rect">
          <a:avLst/>
        </a:prstGeom>
      </xdr:spPr>
    </xdr:pic>
    <xdr:clientData/>
  </xdr:twoCellAnchor>
  <xdr:twoCellAnchor editAs="oneCell">
    <xdr:from>
      <xdr:col>4</xdr:col>
      <xdr:colOff>48073</xdr:colOff>
      <xdr:row>14</xdr:row>
      <xdr:rowOff>165936</xdr:rowOff>
    </xdr:from>
    <xdr:to>
      <xdr:col>4</xdr:col>
      <xdr:colOff>316443</xdr:colOff>
      <xdr:row>16</xdr:row>
      <xdr:rowOff>42629</xdr:rowOff>
    </xdr:to>
    <xdr:pic>
      <xdr:nvPicPr>
        <xdr:cNvPr id="6" name="Image 5" descr="Icone.png"/>
        <xdr:cNvPicPr>
          <a:picLocks noChangeAspect="1"/>
        </xdr:cNvPicPr>
      </xdr:nvPicPr>
      <xdr:blipFill>
        <a:blip xmlns:r="http://schemas.openxmlformats.org/officeDocument/2006/relationships" r:embed="rId5" cstate="print"/>
        <a:srcRect l="12083" t="7964" r="61436" b="65163"/>
        <a:stretch>
          <a:fillRect/>
        </a:stretch>
      </xdr:blipFill>
      <xdr:spPr>
        <a:xfrm>
          <a:off x="1556833" y="2749116"/>
          <a:ext cx="268370" cy="272933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15</xdr:col>
      <xdr:colOff>6569</xdr:colOff>
      <xdr:row>27</xdr:row>
      <xdr:rowOff>6569</xdr:rowOff>
    </xdr:to>
    <xdr:grpSp>
      <xdr:nvGrpSpPr>
        <xdr:cNvPr id="7" name="Groupe 6"/>
        <xdr:cNvGrpSpPr/>
      </xdr:nvGrpSpPr>
      <xdr:grpSpPr>
        <a:xfrm>
          <a:off x="182880" y="175260"/>
          <a:ext cx="13364429" cy="5012909"/>
          <a:chOff x="0" y="0"/>
          <a:chExt cx="8874672" cy="5169776"/>
        </a:xfrm>
      </xdr:grpSpPr>
      <xdr:pic>
        <xdr:nvPicPr>
          <xdr:cNvPr id="8" name="Image 7" descr="Fond.jpg"/>
          <xdr:cNvPicPr>
            <a:picLocks noChangeAspect="1"/>
          </xdr:cNvPicPr>
        </xdr:nvPicPr>
        <xdr:blipFill>
          <a:blip xmlns:r="http://schemas.openxmlformats.org/officeDocument/2006/relationships" r:embed="rId6" cstate="print"/>
          <a:srcRect r="92598"/>
          <a:stretch>
            <a:fillRect/>
          </a:stretch>
        </xdr:blipFill>
        <xdr:spPr>
          <a:xfrm>
            <a:off x="0" y="0"/>
            <a:ext cx="656897" cy="5169776"/>
          </a:xfrm>
          <a:prstGeom prst="rect">
            <a:avLst/>
          </a:prstGeom>
        </xdr:spPr>
      </xdr:pic>
      <xdr:pic>
        <xdr:nvPicPr>
          <xdr:cNvPr id="9" name="Image 8" descr="Fond.jpg"/>
          <xdr:cNvPicPr>
            <a:picLocks noChangeAspect="1"/>
          </xdr:cNvPicPr>
        </xdr:nvPicPr>
        <xdr:blipFill>
          <a:blip xmlns:r="http://schemas.openxmlformats.org/officeDocument/2006/relationships" r:embed="rId6" cstate="print"/>
          <a:srcRect l="92599"/>
          <a:stretch>
            <a:fillRect/>
          </a:stretch>
        </xdr:blipFill>
        <xdr:spPr>
          <a:xfrm>
            <a:off x="8217776" y="0"/>
            <a:ext cx="656896" cy="5169776"/>
          </a:xfrm>
          <a:prstGeom prst="rect">
            <a:avLst/>
          </a:prstGeom>
        </xdr:spPr>
      </xdr:pic>
      <xdr:pic>
        <xdr:nvPicPr>
          <xdr:cNvPr id="10" name="Image 9" descr="Fond.jpg"/>
          <xdr:cNvPicPr>
            <a:picLocks noChangeAspect="1"/>
          </xdr:cNvPicPr>
        </xdr:nvPicPr>
        <xdr:blipFill>
          <a:blip xmlns:r="http://schemas.openxmlformats.org/officeDocument/2006/relationships" r:embed="rId6" cstate="print"/>
          <a:srcRect t="87675"/>
          <a:stretch>
            <a:fillRect/>
          </a:stretch>
        </xdr:blipFill>
        <xdr:spPr>
          <a:xfrm>
            <a:off x="0" y="4532586"/>
            <a:ext cx="8874672" cy="637190"/>
          </a:xfrm>
          <a:prstGeom prst="rect">
            <a:avLst/>
          </a:prstGeom>
        </xdr:spPr>
      </xdr:pic>
      <xdr:pic>
        <xdr:nvPicPr>
          <xdr:cNvPr id="11" name="Image 10" descr="Fond.jpg"/>
          <xdr:cNvPicPr>
            <a:picLocks noChangeAspect="1"/>
          </xdr:cNvPicPr>
        </xdr:nvPicPr>
        <xdr:blipFill>
          <a:blip xmlns:r="http://schemas.openxmlformats.org/officeDocument/2006/relationships" r:embed="rId6" cstate="print"/>
          <a:srcRect b="88946"/>
          <a:stretch>
            <a:fillRect/>
          </a:stretch>
        </xdr:blipFill>
        <xdr:spPr>
          <a:xfrm>
            <a:off x="0" y="0"/>
            <a:ext cx="8874672" cy="571500"/>
          </a:xfrm>
          <a:prstGeom prst="rect">
            <a:avLst/>
          </a:prstGeom>
        </xdr:spPr>
      </xdr:pic>
    </xdr:grpSp>
    <xdr:clientData/>
  </xdr:twoCellAnchor>
</xdr:wsDr>
</file>

<file path=xl/tables/table1.xml><?xml version="1.0" encoding="utf-8"?>
<table xmlns="http://schemas.openxmlformats.org/spreadsheetml/2006/main" id="1" name="Plan_action" displayName="Plan_action" ref="A7:J33" totalsRowShown="0" headerRowDxfId="0" dataDxfId="23" headerRowBorderDxfId="24" tableBorderDxfId="22" totalsRowBorderDxfId="21">
  <autoFilter ref="A7:J33"/>
  <sortState ref="A8:J33">
    <sortCondition ref="G7:G33"/>
  </sortState>
  <tableColumns count="10">
    <tableColumn id="1" name="N°" dataDxfId="20" totalsRowDxfId="19"/>
    <tableColumn id="2" name="Priorité" dataDxfId="18" totalsRowDxfId="17"/>
    <tableColumn id="3" name="Description de l'action" dataDxfId="16" totalsRowDxfId="15"/>
    <tableColumn id="4" name="Responsable" dataDxfId="14" totalsRowDxfId="13"/>
    <tableColumn id="5" name="Date création" dataDxfId="12" totalsRowDxfId="11"/>
    <tableColumn id="6" name="Échéance" dataDxfId="10" totalsRowDxfId="9"/>
    <tableColumn id="7" name="Statut" dataDxfId="8" totalsRowDxfId="7"/>
    <tableColumn id="8" name="Avancement (%)" dataDxfId="6" totalsRowDxfId="5" dataCellStyle="Pourcentage"/>
    <tableColumn id="9" name="Commentaires" dataDxfId="4" totalsRowDxfId="3"/>
    <tableColumn id="10" name="Date clôture" dataDxfId="2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info@mbtoolbox.ch" TargetMode="External"/><Relationship Id="rId1" Type="http://schemas.openxmlformats.org/officeDocument/2006/relationships/hyperlink" Target="https://www.mbtoolbox.ch/" TargetMode="Externa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3"/>
  <sheetViews>
    <sheetView showGridLines="0" tabSelected="1" zoomScaleNormal="100" workbookViewId="0">
      <selection activeCell="A8" sqref="A8"/>
    </sheetView>
  </sheetViews>
  <sheetFormatPr baseColWidth="10" defaultRowHeight="17.399999999999999" customHeight="1"/>
  <cols>
    <col min="1" max="1" width="7.5546875" style="31" customWidth="1"/>
    <col min="2" max="2" width="9.21875" style="31" bestFit="1" customWidth="1"/>
    <col min="3" max="3" width="35.5546875" style="31" customWidth="1"/>
    <col min="4" max="4" width="15.5546875" style="31" customWidth="1"/>
    <col min="5" max="5" width="15.33203125" style="31" bestFit="1" customWidth="1"/>
    <col min="6" max="6" width="12.44140625" style="31" customWidth="1"/>
    <col min="7" max="7" width="9.5546875" style="31" customWidth="1"/>
    <col min="8" max="8" width="16.44140625" style="31" customWidth="1"/>
    <col min="9" max="9" width="33.44140625" style="31" customWidth="1"/>
    <col min="10" max="10" width="12.88671875" style="31" customWidth="1"/>
    <col min="11" max="11" width="31.5546875" style="31" bestFit="1" customWidth="1"/>
    <col min="12" max="12" width="31.44140625" style="31" bestFit="1" customWidth="1"/>
    <col min="13" max="16384" width="11.5546875" style="31"/>
  </cols>
  <sheetData>
    <row r="1" spans="1:10" ht="33" customHeight="1">
      <c r="A1" s="90" t="s">
        <v>32</v>
      </c>
      <c r="B1" s="90"/>
      <c r="C1" s="90"/>
      <c r="D1" s="90"/>
      <c r="E1" s="90"/>
      <c r="F1" s="90"/>
      <c r="G1" s="90"/>
      <c r="H1" s="90"/>
      <c r="I1" s="90"/>
      <c r="J1" s="90"/>
    </row>
    <row r="2" spans="1:10" ht="18">
      <c r="A2" s="87" t="s">
        <v>44</v>
      </c>
      <c r="B2" s="87"/>
      <c r="C2" s="88"/>
      <c r="D2" s="88"/>
      <c r="E2" s="39" t="s">
        <v>43</v>
      </c>
      <c r="F2" s="89"/>
      <c r="G2" s="89"/>
      <c r="H2" s="89"/>
      <c r="I2" s="40" t="s">
        <v>45</v>
      </c>
      <c r="J2" s="38"/>
    </row>
    <row r="3" spans="1:10" ht="14.4"/>
    <row r="4" spans="1:10" ht="20.399999999999999" customHeight="1">
      <c r="A4" s="83" t="s">
        <v>40</v>
      </c>
      <c r="B4" s="42" t="s">
        <v>33</v>
      </c>
      <c r="C4" s="77"/>
      <c r="D4" s="78"/>
      <c r="E4" s="81" t="s">
        <v>42</v>
      </c>
      <c r="F4" s="82"/>
      <c r="G4" s="85" t="s">
        <v>41</v>
      </c>
      <c r="H4" s="42" t="s">
        <v>16</v>
      </c>
      <c r="I4" s="77"/>
      <c r="J4" s="78"/>
    </row>
    <row r="5" spans="1:10" ht="20.399999999999999" customHeight="1">
      <c r="A5" s="84"/>
      <c r="B5" s="43" t="s">
        <v>31</v>
      </c>
      <c r="C5" s="75"/>
      <c r="D5" s="76"/>
      <c r="E5" s="79" t="str">
        <f>IFERROR(AVERAGE(Plan_action[Avancement (%)]),"")</f>
        <v/>
      </c>
      <c r="F5" s="80"/>
      <c r="G5" s="86"/>
      <c r="H5" s="43" t="s">
        <v>39</v>
      </c>
      <c r="I5" s="75"/>
      <c r="J5" s="76"/>
    </row>
    <row r="6" spans="1:10" ht="14.4">
      <c r="E6" s="35"/>
      <c r="F6" s="34"/>
      <c r="H6" s="33"/>
      <c r="I6" s="36"/>
      <c r="J6" s="36"/>
    </row>
    <row r="7" spans="1:10" s="32" customFormat="1" ht="27" customHeight="1">
      <c r="A7" s="94" t="s">
        <v>37</v>
      </c>
      <c r="B7" s="95" t="s">
        <v>19</v>
      </c>
      <c r="C7" s="95" t="s">
        <v>17</v>
      </c>
      <c r="D7" s="95" t="s">
        <v>16</v>
      </c>
      <c r="E7" s="95" t="s">
        <v>36</v>
      </c>
      <c r="F7" s="96" t="s">
        <v>18</v>
      </c>
      <c r="G7" s="96" t="s">
        <v>20</v>
      </c>
      <c r="H7" s="96" t="s">
        <v>35</v>
      </c>
      <c r="I7" s="95" t="s">
        <v>21</v>
      </c>
      <c r="J7" s="97" t="s">
        <v>38</v>
      </c>
    </row>
    <row r="8" spans="1:10" ht="17.399999999999999" customHeight="1">
      <c r="A8" s="98"/>
      <c r="B8" s="61"/>
      <c r="C8" s="60"/>
      <c r="D8" s="60"/>
      <c r="E8" s="99"/>
      <c r="F8" s="99"/>
      <c r="G8" s="61"/>
      <c r="H8" s="62"/>
      <c r="I8" s="100"/>
      <c r="J8" s="101"/>
    </row>
    <row r="9" spans="1:10" ht="17.399999999999999" customHeight="1">
      <c r="A9" s="63"/>
      <c r="B9" s="64"/>
      <c r="C9" s="64"/>
      <c r="D9" s="64"/>
      <c r="E9" s="65"/>
      <c r="F9" s="65"/>
      <c r="G9" s="64"/>
      <c r="H9" s="66"/>
      <c r="I9" s="67"/>
      <c r="J9" s="68"/>
    </row>
    <row r="10" spans="1:10" ht="17.399999999999999" customHeight="1">
      <c r="A10" s="63"/>
      <c r="B10" s="64"/>
      <c r="C10" s="64"/>
      <c r="D10" s="64"/>
      <c r="E10" s="65"/>
      <c r="F10" s="65"/>
      <c r="G10" s="64"/>
      <c r="H10" s="66"/>
      <c r="I10" s="67"/>
      <c r="J10" s="68"/>
    </row>
    <row r="11" spans="1:10" ht="17.399999999999999" customHeight="1">
      <c r="A11" s="69"/>
      <c r="B11" s="70"/>
      <c r="C11" s="70"/>
      <c r="D11" s="70"/>
      <c r="E11" s="71"/>
      <c r="F11" s="71"/>
      <c r="G11" s="70"/>
      <c r="H11" s="72"/>
      <c r="I11" s="73"/>
      <c r="J11" s="74"/>
    </row>
    <row r="12" spans="1:10" ht="17.399999999999999" customHeight="1">
      <c r="A12" s="63"/>
      <c r="B12" s="64"/>
      <c r="C12" s="64"/>
      <c r="D12" s="64"/>
      <c r="E12" s="65"/>
      <c r="F12" s="65"/>
      <c r="G12" s="64"/>
      <c r="H12" s="66"/>
      <c r="I12" s="67"/>
      <c r="J12" s="68"/>
    </row>
    <row r="13" spans="1:10" ht="17.399999999999999" customHeight="1">
      <c r="A13" s="63"/>
      <c r="B13" s="64"/>
      <c r="C13" s="64"/>
      <c r="D13" s="64"/>
      <c r="E13" s="65"/>
      <c r="F13" s="65"/>
      <c r="G13" s="64"/>
      <c r="H13" s="66"/>
      <c r="I13" s="67"/>
      <c r="J13" s="68"/>
    </row>
    <row r="14" spans="1:10" ht="17.399999999999999" customHeight="1">
      <c r="A14" s="63"/>
      <c r="B14" s="64"/>
      <c r="C14" s="64"/>
      <c r="D14" s="70"/>
      <c r="E14" s="65"/>
      <c r="F14" s="65"/>
      <c r="G14" s="64"/>
      <c r="H14" s="66"/>
      <c r="I14" s="67"/>
      <c r="J14" s="68"/>
    </row>
    <row r="15" spans="1:10" ht="17.399999999999999" customHeight="1">
      <c r="A15" s="63"/>
      <c r="B15" s="64"/>
      <c r="C15" s="64"/>
      <c r="D15" s="64"/>
      <c r="E15" s="65"/>
      <c r="F15" s="65"/>
      <c r="G15" s="64"/>
      <c r="H15" s="66"/>
      <c r="I15" s="67"/>
      <c r="J15" s="68"/>
    </row>
    <row r="16" spans="1:10" ht="17.399999999999999" customHeight="1">
      <c r="A16" s="63"/>
      <c r="B16" s="64"/>
      <c r="C16" s="64"/>
      <c r="D16" s="64"/>
      <c r="E16" s="65"/>
      <c r="F16" s="65"/>
      <c r="G16" s="64"/>
      <c r="H16" s="66"/>
      <c r="I16" s="67"/>
      <c r="J16" s="68"/>
    </row>
    <row r="17" spans="1:10" ht="17.399999999999999" customHeight="1">
      <c r="A17" s="63"/>
      <c r="B17" s="64"/>
      <c r="C17" s="64"/>
      <c r="D17" s="64"/>
      <c r="E17" s="65"/>
      <c r="F17" s="65"/>
      <c r="G17" s="64"/>
      <c r="H17" s="66"/>
      <c r="I17" s="67"/>
      <c r="J17" s="68"/>
    </row>
    <row r="18" spans="1:10" ht="17.399999999999999" customHeight="1">
      <c r="A18" s="63"/>
      <c r="B18" s="64"/>
      <c r="C18" s="64"/>
      <c r="D18" s="64"/>
      <c r="E18" s="65"/>
      <c r="F18" s="65"/>
      <c r="G18" s="64"/>
      <c r="H18" s="66"/>
      <c r="I18" s="67"/>
      <c r="J18" s="68"/>
    </row>
    <row r="19" spans="1:10" ht="17.399999999999999" customHeight="1">
      <c r="A19" s="63"/>
      <c r="B19" s="64"/>
      <c r="C19" s="64"/>
      <c r="D19" s="64"/>
      <c r="E19" s="65"/>
      <c r="F19" s="65"/>
      <c r="G19" s="64"/>
      <c r="H19" s="66"/>
      <c r="I19" s="67"/>
      <c r="J19" s="68"/>
    </row>
    <row r="20" spans="1:10" ht="17.399999999999999" customHeight="1">
      <c r="A20" s="63"/>
      <c r="B20" s="64"/>
      <c r="C20" s="64"/>
      <c r="D20" s="64"/>
      <c r="E20" s="65"/>
      <c r="F20" s="65"/>
      <c r="G20" s="64"/>
      <c r="H20" s="66"/>
      <c r="I20" s="67"/>
      <c r="J20" s="68"/>
    </row>
    <row r="21" spans="1:10" ht="17.399999999999999" customHeight="1">
      <c r="A21" s="63"/>
      <c r="B21" s="64"/>
      <c r="C21" s="64"/>
      <c r="D21" s="64"/>
      <c r="E21" s="65"/>
      <c r="F21" s="65"/>
      <c r="G21" s="64"/>
      <c r="H21" s="66"/>
      <c r="I21" s="67"/>
      <c r="J21" s="68"/>
    </row>
    <row r="22" spans="1:10" ht="17.399999999999999" customHeight="1">
      <c r="A22" s="63"/>
      <c r="B22" s="64"/>
      <c r="C22" s="64"/>
      <c r="D22" s="64"/>
      <c r="E22" s="65"/>
      <c r="F22" s="65"/>
      <c r="G22" s="64"/>
      <c r="H22" s="66"/>
      <c r="I22" s="67"/>
      <c r="J22" s="68"/>
    </row>
    <row r="23" spans="1:10" ht="17.399999999999999" customHeight="1">
      <c r="A23" s="63"/>
      <c r="B23" s="64"/>
      <c r="C23" s="64"/>
      <c r="D23" s="64"/>
      <c r="E23" s="65"/>
      <c r="F23" s="65"/>
      <c r="G23" s="64"/>
      <c r="H23" s="66"/>
      <c r="I23" s="67"/>
      <c r="J23" s="68"/>
    </row>
    <row r="24" spans="1:10" ht="17.399999999999999" customHeight="1">
      <c r="A24" s="63"/>
      <c r="B24" s="64"/>
      <c r="C24" s="64"/>
      <c r="D24" s="64"/>
      <c r="E24" s="65"/>
      <c r="F24" s="65"/>
      <c r="G24" s="64"/>
      <c r="H24" s="66"/>
      <c r="I24" s="67"/>
      <c r="J24" s="68"/>
    </row>
    <row r="25" spans="1:10" ht="17.399999999999999" customHeight="1">
      <c r="A25" s="63"/>
      <c r="B25" s="64"/>
      <c r="C25" s="64"/>
      <c r="D25" s="64"/>
      <c r="E25" s="65"/>
      <c r="F25" s="65"/>
      <c r="G25" s="64"/>
      <c r="H25" s="66"/>
      <c r="I25" s="67"/>
      <c r="J25" s="68"/>
    </row>
    <row r="26" spans="1:10" ht="17.399999999999999" customHeight="1">
      <c r="A26" s="63"/>
      <c r="B26" s="64"/>
      <c r="C26" s="64"/>
      <c r="D26" s="64"/>
      <c r="E26" s="65"/>
      <c r="F26" s="65"/>
      <c r="G26" s="64"/>
      <c r="H26" s="66"/>
      <c r="I26" s="67"/>
      <c r="J26" s="68"/>
    </row>
    <row r="27" spans="1:10" ht="17.399999999999999" customHeight="1">
      <c r="A27" s="63"/>
      <c r="B27" s="64"/>
      <c r="C27" s="64"/>
      <c r="D27" s="64"/>
      <c r="E27" s="65"/>
      <c r="F27" s="65"/>
      <c r="G27" s="64"/>
      <c r="H27" s="66"/>
      <c r="I27" s="67"/>
      <c r="J27" s="68"/>
    </row>
    <row r="28" spans="1:10" ht="17.399999999999999" customHeight="1">
      <c r="A28" s="63"/>
      <c r="B28" s="64"/>
      <c r="C28" s="64"/>
      <c r="D28" s="64"/>
      <c r="E28" s="65"/>
      <c r="F28" s="65"/>
      <c r="G28" s="64"/>
      <c r="H28" s="66"/>
      <c r="I28" s="67"/>
      <c r="J28" s="68"/>
    </row>
    <row r="29" spans="1:10" ht="17.399999999999999" customHeight="1">
      <c r="A29" s="63"/>
      <c r="B29" s="64"/>
      <c r="C29" s="64"/>
      <c r="D29" s="64"/>
      <c r="E29" s="65"/>
      <c r="F29" s="65"/>
      <c r="G29" s="64"/>
      <c r="H29" s="66"/>
      <c r="I29" s="67"/>
      <c r="J29" s="68"/>
    </row>
    <row r="30" spans="1:10" ht="17.399999999999999" customHeight="1">
      <c r="A30" s="63"/>
      <c r="B30" s="64"/>
      <c r="C30" s="64"/>
      <c r="D30" s="64"/>
      <c r="E30" s="65"/>
      <c r="F30" s="65"/>
      <c r="G30" s="64"/>
      <c r="H30" s="66"/>
      <c r="I30" s="67"/>
      <c r="J30" s="68"/>
    </row>
    <row r="31" spans="1:10" ht="17.399999999999999" customHeight="1">
      <c r="A31" s="69"/>
      <c r="B31" s="70"/>
      <c r="C31" s="70"/>
      <c r="D31" s="70"/>
      <c r="E31" s="71"/>
      <c r="F31" s="71"/>
      <c r="G31" s="70"/>
      <c r="H31" s="72"/>
      <c r="I31" s="73"/>
      <c r="J31" s="74"/>
    </row>
    <row r="32" spans="1:10" ht="17.399999999999999" customHeight="1">
      <c r="A32" s="63"/>
      <c r="B32" s="64"/>
      <c r="C32" s="64"/>
      <c r="D32" s="64"/>
      <c r="E32" s="65"/>
      <c r="F32" s="65"/>
      <c r="G32" s="64"/>
      <c r="H32" s="66"/>
      <c r="I32" s="67"/>
      <c r="J32" s="68"/>
    </row>
    <row r="33" spans="1:10" ht="17.399999999999999" customHeight="1">
      <c r="A33" s="63"/>
      <c r="B33" s="64"/>
      <c r="C33" s="64"/>
      <c r="D33" s="64"/>
      <c r="E33" s="65"/>
      <c r="F33" s="65"/>
      <c r="G33" s="64"/>
      <c r="H33" s="66"/>
      <c r="I33" s="67"/>
      <c r="J33" s="68"/>
    </row>
  </sheetData>
  <sheetProtection algorithmName="SHA-512" hashValue="Fg14NE4EVPeAl4CrF1E9FS8Wx1xKCF6lOpAnRB7eDqulzXn95NupFzv5NxvLddSH72EN/iSctdRZs1F3+pPlZg==" saltValue="JC1P9fPAtGxvjPHUnyYLCg==" spinCount="100000" sheet="1" objects="1" scenarios="1" insertRows="0" deleteRows="0" sort="0" autoFilter="0"/>
  <mergeCells count="12">
    <mergeCell ref="A1:J1"/>
    <mergeCell ref="A2:B2"/>
    <mergeCell ref="C2:D2"/>
    <mergeCell ref="C5:D5"/>
    <mergeCell ref="C4:D4"/>
    <mergeCell ref="F2:H2"/>
    <mergeCell ref="I5:J5"/>
    <mergeCell ref="I4:J4"/>
    <mergeCell ref="E5:F5"/>
    <mergeCell ref="E4:F4"/>
    <mergeCell ref="A4:A5"/>
    <mergeCell ref="G4:G5"/>
  </mergeCells>
  <conditionalFormatting sqref="B8:B33">
    <cfRule type="cellIs" dxfId="27" priority="8" operator="equal">
      <formula>"Faible"</formula>
    </cfRule>
    <cfRule type="cellIs" dxfId="26" priority="9" operator="equal">
      <formula>"Moyenne"</formula>
    </cfRule>
    <cfRule type="cellIs" dxfId="25" priority="10" operator="equal">
      <formula>"Haute"</formula>
    </cfRule>
  </conditionalFormatting>
  <conditionalFormatting sqref="H8:H33">
    <cfRule type="dataBar" priority="1">
      <dataBar>
        <cfvo type="num" val="0"/>
        <cfvo type="num" val="100"/>
        <color rgb="FF638EC6"/>
      </dataBar>
      <extLst>
        <ext xmlns:x14="http://schemas.microsoft.com/office/spreadsheetml/2009/9/main" uri="{B025F937-C7B1-47D3-B67F-A62EFF666E3E}">
          <x14:id>{FE12C35B-65C2-4147-9F9E-AE0E17EF6293}</x14:id>
        </ext>
      </extLst>
    </cfRule>
  </conditionalFormatting>
  <pageMargins left="0.31496062992125984" right="0.31496062992125984" top="0.55118110236220474" bottom="0.55118110236220474" header="0.31496062992125984" footer="0.31496062992125984"/>
  <pageSetup paperSize="9" scale="83" fitToHeight="0" orientation="landscape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12C35B-65C2-4147-9F9E-AE0E17EF6293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H8:H33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Erreur de saise" error="Sélectionner une valeur valide">
          <x14:formula1>
            <xm:f>PARAMETRES!$C$2:$C$5</xm:f>
          </x14:formula1>
          <xm:sqref>G8:G33</xm:sqref>
        </x14:dataValidation>
        <x14:dataValidation type="list" allowBlank="1" showErrorMessage="1" errorTitle="Erreur de saise" error="Sélectionner une valeur valide" promptTitle="Erreur">
          <x14:formula1>
            <xm:f>PARAMETRES!$A$2:$A$4</xm:f>
          </x14:formula1>
          <xm:sqref>B8:B33</xm:sqref>
        </x14:dataValidation>
        <x14:dataValidation type="list" allowBlank="1" showInputMessage="1" showErrorMessage="1" errorTitle="Erreur de saisie" error="Sélectionner une valeur valide">
          <x14:formula1>
            <xm:f>PARAMETRES!$E$2:$E$6</xm:f>
          </x14:formula1>
          <xm:sqref>H8:H33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showGridLines="0" zoomScaleNormal="100" workbookViewId="0">
      <selection activeCell="B12" sqref="B12"/>
    </sheetView>
  </sheetViews>
  <sheetFormatPr baseColWidth="10" defaultRowHeight="14.4"/>
  <cols>
    <col min="1" max="1" width="5.109375" customWidth="1"/>
    <col min="2" max="2" width="47.33203125" customWidth="1"/>
    <col min="3" max="3" width="12.77734375" style="37" customWidth="1"/>
  </cols>
  <sheetData>
    <row r="1" spans="1:3" ht="33" customHeight="1">
      <c r="A1" s="91" t="s">
        <v>52</v>
      </c>
      <c r="B1" s="91"/>
      <c r="C1" s="91"/>
    </row>
    <row r="2" spans="1:3" ht="33.6">
      <c r="A2" s="47"/>
      <c r="B2" s="51" t="s">
        <v>48</v>
      </c>
      <c r="C2" s="48">
        <f>COUNTA(Plan_action[N°])</f>
        <v>0</v>
      </c>
    </row>
    <row r="3" spans="1:3" ht="33.6">
      <c r="A3" s="53"/>
      <c r="B3" s="49"/>
      <c r="C3" s="50"/>
    </row>
    <row r="4" spans="1:3" ht="33.6">
      <c r="A4" s="47"/>
      <c r="B4" s="51" t="s">
        <v>51</v>
      </c>
      <c r="C4" s="48">
        <f>SUMPRODUCT((Plan_action[N°]&lt;&gt;"")*(Plan_action[Statut]="Terminé"))</f>
        <v>0</v>
      </c>
    </row>
    <row r="5" spans="1:3" ht="33.6">
      <c r="A5" s="53"/>
      <c r="B5" s="49"/>
      <c r="C5" s="50"/>
    </row>
    <row r="6" spans="1:3" ht="33.6">
      <c r="A6" s="47"/>
      <c r="B6" s="51" t="s">
        <v>50</v>
      </c>
      <c r="C6" s="48">
        <f>SUMPRODUCT((Plan_action[N°]&lt;&gt;"")*(Plan_action[Statut]="En cours"))</f>
        <v>0</v>
      </c>
    </row>
    <row r="7" spans="1:3" ht="33.6">
      <c r="A7" s="53"/>
      <c r="B7" s="49"/>
      <c r="C7" s="50"/>
    </row>
    <row r="8" spans="1:3" ht="33.6">
      <c r="A8" s="47"/>
      <c r="B8" s="51" t="s">
        <v>46</v>
      </c>
      <c r="C8" s="48">
        <f>SUMPRODUCT((Plan_action[N°]&lt;&gt;"")*(Plan_action[Statut]="En attente"))</f>
        <v>0</v>
      </c>
    </row>
    <row r="9" spans="1:3" ht="33.6" customHeight="1">
      <c r="A9" s="54"/>
    </row>
    <row r="10" spans="1:3" ht="33.6">
      <c r="A10" s="47"/>
      <c r="B10" s="51" t="s">
        <v>49</v>
      </c>
      <c r="C10" s="48">
        <f>SUMPRODUCT((Plan_action[N°]&lt;&gt;"")*(Plan_action[Statut]="Terminé"))</f>
        <v>0</v>
      </c>
    </row>
    <row r="11" spans="1:3" ht="33.6">
      <c r="A11" s="55"/>
      <c r="B11" s="44"/>
      <c r="C11" s="46"/>
    </row>
    <row r="12" spans="1:3" ht="33.6">
      <c r="A12" s="45"/>
      <c r="B12" s="52" t="s">
        <v>47</v>
      </c>
      <c r="C12" s="48">
        <f ca="1">SUMPRODUCT((Plan_action[Échéance]&lt;&gt;"")*(Plan_action[Échéance]&lt;TODAY())*(Plan_action[Statut]&lt;&gt;"☑ Terminé"))</f>
        <v>0</v>
      </c>
    </row>
  </sheetData>
  <sheetProtection algorithmName="SHA-512" hashValue="1Y+94KqlTuDuyfGEcuPY349UOERa/ocDH92mRZxP7E7Kqgx/q2l6MWtvW/zpWKl/JPm8xCxyQBIIirQXEhCVoQ==" saltValue="rU1TJlnqhp7UbtL8nhraKg==" spinCount="100000" sheet="1" objects="1" scenarios="1"/>
  <mergeCells count="1">
    <mergeCell ref="A1:C1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E5" sqref="E5"/>
    </sheetView>
  </sheetViews>
  <sheetFormatPr baseColWidth="10" defaultRowHeight="14.4"/>
  <cols>
    <col min="1" max="1" width="15.6640625" style="41" customWidth="1"/>
    <col min="2" max="2" width="4.88671875" style="41" customWidth="1"/>
    <col min="3" max="3" width="15.6640625" style="41" customWidth="1"/>
    <col min="4" max="4" width="4.88671875" style="41" customWidth="1"/>
    <col min="5" max="5" width="15.6640625" style="41" customWidth="1"/>
    <col min="6" max="16384" width="11.5546875" style="41"/>
  </cols>
  <sheetData>
    <row r="1" spans="1:5">
      <c r="A1" s="56" t="s">
        <v>23</v>
      </c>
      <c r="C1" s="56" t="s">
        <v>22</v>
      </c>
      <c r="E1" s="56" t="s">
        <v>34</v>
      </c>
    </row>
    <row r="2" spans="1:5">
      <c r="A2" s="57" t="s">
        <v>27</v>
      </c>
      <c r="C2" s="57" t="s">
        <v>24</v>
      </c>
      <c r="E2" s="58">
        <v>0</v>
      </c>
    </row>
    <row r="3" spans="1:5">
      <c r="A3" s="57" t="s">
        <v>28</v>
      </c>
      <c r="C3" s="57" t="s">
        <v>30</v>
      </c>
      <c r="E3" s="58">
        <v>25</v>
      </c>
    </row>
    <row r="4" spans="1:5">
      <c r="A4" s="57" t="s">
        <v>29</v>
      </c>
      <c r="C4" s="57" t="s">
        <v>25</v>
      </c>
      <c r="E4" s="58">
        <v>50</v>
      </c>
    </row>
    <row r="5" spans="1:5">
      <c r="C5" s="57" t="s">
        <v>26</v>
      </c>
      <c r="E5" s="58">
        <v>75</v>
      </c>
    </row>
    <row r="6" spans="1:5">
      <c r="E6" s="58">
        <v>100</v>
      </c>
    </row>
    <row r="7" spans="1:5">
      <c r="E7" s="59"/>
    </row>
  </sheetData>
  <sheetProtection algorithmName="SHA-512" hashValue="/p0lE510f2Tp2vYM024h3lL1e+J27PPQbhg7icqakj4DWpJKjVFckCSir+kxbQn/42BFU6Obzkf4U1M4zOEW5A==" saltValue="zmH87rVgh5dZPkG40xCj7Q==" spinCount="100000" sheet="1" objects="1" scenarios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O27"/>
  <sheetViews>
    <sheetView showGridLines="0" zoomScaleNormal="100" zoomScalePageLayoutView="85" workbookViewId="0">
      <selection activeCell="K16" sqref="K16"/>
    </sheetView>
  </sheetViews>
  <sheetFormatPr baseColWidth="10" defaultColWidth="11.44140625" defaultRowHeight="13.8"/>
  <cols>
    <col min="1" max="1" width="2.6640625" style="2" customWidth="1"/>
    <col min="2" max="2" width="9.6640625" style="2" customWidth="1"/>
    <col min="3" max="3" width="7" style="2" customWidth="1"/>
    <col min="4" max="4" width="2.6640625" style="2" customWidth="1"/>
    <col min="5" max="5" width="5.44140625" style="2" customWidth="1"/>
    <col min="6" max="6" width="19.44140625" style="2" customWidth="1"/>
    <col min="7" max="7" width="43" style="2" customWidth="1"/>
    <col min="8" max="10" width="2.6640625" style="2" customWidth="1"/>
    <col min="11" max="11" width="27.33203125" style="2" customWidth="1"/>
    <col min="12" max="12" width="52.33203125" style="2" customWidth="1"/>
    <col min="13" max="13" width="2.6640625" style="2" customWidth="1"/>
    <col min="14" max="14" width="7.5546875" style="2" customWidth="1"/>
    <col min="15" max="15" width="9.6640625" style="2" customWidth="1"/>
    <col min="16" max="16" width="2.6640625" style="2" customWidth="1"/>
    <col min="17" max="16384" width="11.44140625" style="2"/>
  </cols>
  <sheetData>
    <row r="2" spans="3:15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3:15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3:15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3:15" ht="8.2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1"/>
    </row>
    <row r="6" spans="3:15">
      <c r="C6" s="3"/>
      <c r="D6" s="4"/>
      <c r="E6" s="5"/>
      <c r="F6" s="5"/>
      <c r="G6" s="5"/>
      <c r="H6" s="6"/>
      <c r="I6" s="3"/>
      <c r="J6" s="4"/>
      <c r="K6" s="5"/>
      <c r="L6" s="5"/>
      <c r="M6" s="6"/>
      <c r="N6" s="3"/>
      <c r="O6" s="1"/>
    </row>
    <row r="7" spans="3:15" ht="21">
      <c r="C7" s="3"/>
      <c r="D7" s="7"/>
      <c r="E7" s="3"/>
      <c r="F7" s="3"/>
      <c r="G7" s="3"/>
      <c r="H7" s="8"/>
      <c r="I7" s="3"/>
      <c r="J7" s="7"/>
      <c r="K7" s="92" t="s">
        <v>0</v>
      </c>
      <c r="L7" s="92"/>
      <c r="M7" s="8"/>
      <c r="N7" s="3"/>
      <c r="O7" s="1"/>
    </row>
    <row r="8" spans="3:15">
      <c r="C8" s="3"/>
      <c r="D8" s="7"/>
      <c r="E8" s="3"/>
      <c r="F8" s="3"/>
      <c r="G8" s="3"/>
      <c r="H8" s="8"/>
      <c r="I8" s="3"/>
      <c r="J8" s="7"/>
      <c r="K8" s="3"/>
      <c r="L8" s="3"/>
      <c r="M8" s="8"/>
      <c r="N8" s="3"/>
      <c r="O8" s="1"/>
    </row>
    <row r="9" spans="3:15">
      <c r="C9" s="3"/>
      <c r="D9" s="7"/>
      <c r="E9" s="3"/>
      <c r="F9" s="3"/>
      <c r="G9" s="3"/>
      <c r="H9" s="8"/>
      <c r="I9" s="3"/>
      <c r="J9" s="7"/>
      <c r="K9" s="9" t="s">
        <v>1</v>
      </c>
      <c r="L9" s="30" t="s">
        <v>15</v>
      </c>
      <c r="M9" s="8"/>
      <c r="N9" s="3"/>
      <c r="O9" s="1"/>
    </row>
    <row r="10" spans="3:15" ht="15.75" customHeight="1">
      <c r="C10" s="3"/>
      <c r="D10" s="7"/>
      <c r="E10" s="3"/>
      <c r="F10" s="3"/>
      <c r="G10" s="3"/>
      <c r="H10" s="8"/>
      <c r="I10" s="3"/>
      <c r="J10" s="7"/>
      <c r="K10" s="11"/>
      <c r="L10" s="3"/>
      <c r="M10" s="8"/>
      <c r="N10" s="3"/>
      <c r="O10" s="1"/>
    </row>
    <row r="11" spans="3:15" ht="15.75" customHeight="1">
      <c r="C11" s="3"/>
      <c r="D11" s="7"/>
      <c r="E11" s="3"/>
      <c r="F11" s="3"/>
      <c r="G11" s="3"/>
      <c r="H11" s="8"/>
      <c r="I11" s="3"/>
      <c r="J11" s="7"/>
      <c r="K11" s="9" t="s">
        <v>2</v>
      </c>
      <c r="L11" s="12">
        <v>2</v>
      </c>
      <c r="M11" s="8"/>
      <c r="N11" s="3"/>
      <c r="O11" s="1"/>
    </row>
    <row r="12" spans="3:15" ht="15.75" customHeight="1">
      <c r="C12" s="3"/>
      <c r="D12" s="7"/>
      <c r="E12" s="92" t="s">
        <v>3</v>
      </c>
      <c r="F12" s="92"/>
      <c r="G12" s="92"/>
      <c r="H12" s="13"/>
      <c r="I12" s="14"/>
      <c r="J12" s="7"/>
      <c r="K12" s="11"/>
      <c r="L12" s="15"/>
      <c r="M12" s="8"/>
      <c r="N12" s="3"/>
      <c r="O12" s="1"/>
    </row>
    <row r="13" spans="3:15" ht="15.75" customHeight="1">
      <c r="C13" s="3"/>
      <c r="D13" s="7"/>
      <c r="E13" s="92"/>
      <c r="F13" s="92"/>
      <c r="G13" s="92"/>
      <c r="H13" s="13"/>
      <c r="I13" s="14"/>
      <c r="J13" s="7"/>
      <c r="K13" s="9" t="s">
        <v>4</v>
      </c>
      <c r="L13" s="16">
        <v>1.1000000000000001</v>
      </c>
      <c r="M13" s="8"/>
      <c r="N13" s="3"/>
      <c r="O13" s="1"/>
    </row>
    <row r="14" spans="3:15" ht="15.75" customHeight="1">
      <c r="C14" s="3"/>
      <c r="D14" s="7"/>
      <c r="E14" s="10"/>
      <c r="F14" s="3"/>
      <c r="G14" s="3"/>
      <c r="H14" s="8"/>
      <c r="I14" s="3"/>
      <c r="J14" s="7"/>
      <c r="K14" s="17"/>
      <c r="L14" s="18"/>
      <c r="M14" s="8"/>
      <c r="N14" s="3"/>
      <c r="O14" s="1"/>
    </row>
    <row r="15" spans="3:15" ht="15.75" customHeight="1">
      <c r="C15" s="3"/>
      <c r="D15" s="7"/>
      <c r="E15" s="3"/>
      <c r="F15" s="3"/>
      <c r="G15" s="3"/>
      <c r="H15" s="8"/>
      <c r="I15" s="3"/>
      <c r="J15" s="7"/>
      <c r="K15" s="9" t="s">
        <v>5</v>
      </c>
      <c r="L15" s="19">
        <v>46184</v>
      </c>
      <c r="M15" s="8"/>
      <c r="N15" s="3"/>
      <c r="O15" s="1"/>
    </row>
    <row r="16" spans="3:15" ht="15.75" customHeight="1">
      <c r="C16" s="3"/>
      <c r="D16" s="7"/>
      <c r="E16" s="3"/>
      <c r="F16" s="20" t="s">
        <v>6</v>
      </c>
      <c r="G16" s="21" t="s">
        <v>7</v>
      </c>
      <c r="H16" s="22"/>
      <c r="I16" s="21"/>
      <c r="J16" s="7"/>
      <c r="K16" s="23"/>
      <c r="L16" s="24"/>
      <c r="M16" s="8"/>
      <c r="N16" s="3"/>
      <c r="O16" s="1"/>
    </row>
    <row r="17" spans="3:15" ht="15.75" customHeight="1">
      <c r="C17" s="3"/>
      <c r="D17" s="7"/>
      <c r="E17" s="3"/>
      <c r="F17" s="11"/>
      <c r="G17" s="3"/>
      <c r="H17" s="8"/>
      <c r="I17" s="3"/>
      <c r="J17" s="7"/>
      <c r="K17" s="9" t="s">
        <v>8</v>
      </c>
      <c r="L17" s="24"/>
      <c r="M17" s="8"/>
      <c r="N17" s="3"/>
      <c r="O17" s="1"/>
    </row>
    <row r="18" spans="3:15" ht="15.75" customHeight="1">
      <c r="C18" s="3"/>
      <c r="D18" s="7"/>
      <c r="E18" s="3"/>
      <c r="F18" s="20" t="s">
        <v>9</v>
      </c>
      <c r="G18" s="21" t="s">
        <v>10</v>
      </c>
      <c r="H18" s="22"/>
      <c r="I18" s="21"/>
      <c r="J18" s="7"/>
      <c r="K18" s="93" t="s">
        <v>53</v>
      </c>
      <c r="L18" s="93"/>
      <c r="M18" s="8"/>
      <c r="N18" s="3"/>
      <c r="O18" s="1"/>
    </row>
    <row r="19" spans="3:15" ht="15.75" customHeight="1">
      <c r="C19" s="3"/>
      <c r="D19" s="7"/>
      <c r="E19" s="3"/>
      <c r="F19" s="11"/>
      <c r="G19" s="3"/>
      <c r="H19" s="8"/>
      <c r="I19" s="3"/>
      <c r="J19" s="7"/>
      <c r="K19" s="93"/>
      <c r="L19" s="93"/>
      <c r="M19" s="8"/>
      <c r="N19" s="3"/>
      <c r="O19" s="1"/>
    </row>
    <row r="20" spans="3:15" ht="15.75" customHeight="1">
      <c r="C20" s="3"/>
      <c r="D20" s="7"/>
      <c r="E20" s="3"/>
      <c r="F20" s="20" t="s">
        <v>11</v>
      </c>
      <c r="G20" s="11" t="s">
        <v>12</v>
      </c>
      <c r="H20" s="25"/>
      <c r="I20" s="26"/>
      <c r="J20" s="7"/>
      <c r="K20" s="93"/>
      <c r="L20" s="93"/>
      <c r="M20" s="8"/>
      <c r="N20" s="3"/>
      <c r="O20" s="1"/>
    </row>
    <row r="21" spans="3:15" ht="15.75" customHeight="1">
      <c r="C21" s="3"/>
      <c r="D21" s="7"/>
      <c r="E21" s="3"/>
      <c r="F21" s="11"/>
      <c r="G21" s="11"/>
      <c r="H21" s="8"/>
      <c r="I21" s="3"/>
      <c r="J21" s="7"/>
      <c r="K21" s="93"/>
      <c r="L21" s="93"/>
      <c r="M21" s="8"/>
      <c r="N21" s="3"/>
      <c r="O21" s="1"/>
    </row>
    <row r="22" spans="3:15" ht="15.75" customHeight="1">
      <c r="C22" s="3"/>
      <c r="D22" s="7"/>
      <c r="E22" s="3"/>
      <c r="F22" s="20" t="s">
        <v>13</v>
      </c>
      <c r="G22" s="11" t="s">
        <v>14</v>
      </c>
      <c r="H22" s="25"/>
      <c r="I22" s="26"/>
      <c r="J22" s="7"/>
      <c r="K22" s="93"/>
      <c r="L22" s="93"/>
      <c r="M22" s="8"/>
      <c r="N22" s="3"/>
      <c r="O22" s="1"/>
    </row>
    <row r="23" spans="3:15" ht="15.75" customHeight="1">
      <c r="C23" s="3"/>
      <c r="D23" s="27"/>
      <c r="E23" s="28"/>
      <c r="F23" s="28"/>
      <c r="G23" s="28"/>
      <c r="H23" s="29"/>
      <c r="I23" s="3"/>
      <c r="J23" s="27"/>
      <c r="K23" s="28"/>
      <c r="L23" s="28"/>
      <c r="M23" s="29"/>
      <c r="N23" s="3"/>
      <c r="O23" s="1"/>
    </row>
    <row r="24" spans="3:15" ht="15.75" customHeight="1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1"/>
    </row>
    <row r="25" spans="3:15" ht="16.5" customHeight="1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3:15" ht="16.5" customHeight="1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3:15" ht="16.5" customHeight="1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</sheetData>
  <sheetProtection algorithmName="SHA-512" hashValue="ANUe1CGwKNMmzH/V1bnFVAlKn+98tNmmi3JkxAbI6Xpjx9QCTF6zJ6sME1lD8tY3mdQ+VVuuoSiTuUDGpthCWw==" saltValue="tglCgCgy6fv2F+5hYyZyJg==" spinCount="100000" sheet="1" objects="1" scenarios="1"/>
  <mergeCells count="3">
    <mergeCell ref="K7:L7"/>
    <mergeCell ref="E12:G13"/>
    <mergeCell ref="K18:L22"/>
  </mergeCells>
  <hyperlinks>
    <hyperlink ref="G16" r:id="rId1"/>
    <hyperlink ref="G18" r:id="rId2"/>
  </hyperlinks>
  <pageMargins left="0.25" right="0.25" top="0.75" bottom="0.75" header="0.3" footer="0.3"/>
  <pageSetup scale="66" orientation="landscape" r:id="rId3"/>
  <drawing r:id="rId4"/>
  <legacyDrawingHF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PLAN ACTIONS</vt:lpstr>
      <vt:lpstr>TABLEAU DE BORD</vt:lpstr>
      <vt:lpstr>PARAMETRES</vt:lpstr>
      <vt:lpstr>A PROPOS</vt:lpstr>
      <vt:lpstr>'A PROPOS'!Zone_d_impression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PLAN_D_ACTION_1_FREE</dc:title>
  <dc:creator>MB toolbox</dc:creator>
  <dc:description>DEV0002</dc:description>
  <cp:lastModifiedBy>Michel Baumann</cp:lastModifiedBy>
  <cp:lastPrinted>2026-06-11T15:58:50Z</cp:lastPrinted>
  <dcterms:created xsi:type="dcterms:W3CDTF">2026-06-10T18:54:48Z</dcterms:created>
  <dcterms:modified xsi:type="dcterms:W3CDTF">2026-06-14T10:22:33Z</dcterms:modified>
  <cp:category>Gestion de projets</cp:category>
</cp:coreProperties>
</file>